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900982.INTERNAL\Desktop\Jake\"/>
    </mc:Choice>
  </mc:AlternateContent>
  <xr:revisionPtr revIDLastSave="0" documentId="13_ncr:1_{F5FB7E64-112F-4EE1-9A53-8DCF931B12E5}" xr6:coauthVersionLast="36" xr6:coauthVersionMax="36" xr10:uidLastSave="{00000000-0000-0000-0000-000000000000}"/>
  <bookViews>
    <workbookView minimized="1" xWindow="0" yWindow="0" windowWidth="19200" windowHeight="6930" activeTab="1" xr2:uid="{56A78605-A3CD-4D1F-8C3B-55E656F202EE}"/>
  </bookViews>
  <sheets>
    <sheet name="Info" sheetId="1" r:id="rId1"/>
    <sheet name="Simulator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2" i="2" l="1"/>
  <c r="G2" i="2"/>
  <c r="H2" i="2" s="1"/>
  <c r="H5" i="2"/>
  <c r="C5" i="2"/>
  <c r="L3" i="2"/>
  <c r="L4" i="2"/>
  <c r="L5" i="2"/>
  <c r="L6" i="2"/>
  <c r="L7" i="2"/>
  <c r="L8" i="2"/>
  <c r="L9" i="2"/>
  <c r="L2" i="2"/>
  <c r="K9" i="2"/>
  <c r="K8" i="2"/>
  <c r="T17" i="2"/>
  <c r="W25" i="2" s="1"/>
  <c r="T18" i="2"/>
  <c r="W26" i="2" s="1"/>
  <c r="T16" i="2"/>
  <c r="W24" i="2" s="1"/>
  <c r="T13" i="2"/>
  <c r="T12" i="2"/>
  <c r="T11" i="2"/>
  <c r="T10" i="2"/>
  <c r="T14" i="2"/>
  <c r="T9" i="2"/>
  <c r="H4" i="2"/>
  <c r="H8" i="2"/>
  <c r="H3" i="2"/>
  <c r="C4" i="2"/>
  <c r="C8" i="2"/>
  <c r="C3" i="2"/>
  <c r="B2" i="2"/>
  <c r="C2" i="2" s="1"/>
  <c r="T7" i="2"/>
  <c r="W7" i="2" s="1"/>
  <c r="T8" i="2"/>
  <c r="W8" i="2" s="1"/>
  <c r="T6" i="2"/>
  <c r="W6" i="2" s="1"/>
</calcChain>
</file>

<file path=xl/sharedStrings.xml><?xml version="1.0" encoding="utf-8"?>
<sst xmlns="http://schemas.openxmlformats.org/spreadsheetml/2006/main" count="90" uniqueCount="68">
  <si>
    <t>PR Simulator</t>
  </si>
  <si>
    <t>Phase 1: Create functioning PR game (human vs human)</t>
  </si>
  <si>
    <t>Phase 2: Create hueistics for a bot</t>
  </si>
  <si>
    <t>Phase 3: let the bot play against itself (machine learning)</t>
  </si>
  <si>
    <t>Initial Setup:</t>
  </si>
  <si>
    <t>Number of Players:</t>
  </si>
  <si>
    <t>Colonists on boat:</t>
  </si>
  <si>
    <t>Current state:</t>
  </si>
  <si>
    <t>Colonists in supply:</t>
  </si>
  <si>
    <t>VP in supply:</t>
  </si>
  <si>
    <t>Quarries in supply:</t>
  </si>
  <si>
    <t>Corn in supply:</t>
  </si>
  <si>
    <t>Indigo in supply:</t>
  </si>
  <si>
    <t>Sugar in supply:</t>
  </si>
  <si>
    <t>Tabacco in supply:</t>
  </si>
  <si>
    <t>Coffee in supply:</t>
  </si>
  <si>
    <t>Balanced Version?</t>
  </si>
  <si>
    <t>Yes</t>
  </si>
  <si>
    <t>Craftmans Angst</t>
  </si>
  <si>
    <t>Variant:</t>
  </si>
  <si>
    <t>Player 1</t>
  </si>
  <si>
    <t>Player 2</t>
  </si>
  <si>
    <t>Coins</t>
  </si>
  <si>
    <t>Barrels</t>
  </si>
  <si>
    <t>Buildings</t>
  </si>
  <si>
    <t>Plantations</t>
  </si>
  <si>
    <t>Colonists</t>
  </si>
  <si>
    <t>Initial</t>
  </si>
  <si>
    <t>Current State</t>
  </si>
  <si>
    <t>I</t>
  </si>
  <si>
    <t>C</t>
  </si>
  <si>
    <t>8 quarry tiles and 50 plantation tiles: 8 coffee, 9 tobacco, 10 corn, 11 sugar, and 12 indigo</t>
  </si>
  <si>
    <t>2 player variant removes 3 of each type</t>
  </si>
  <si>
    <t>Boat 1 Size</t>
  </si>
  <si>
    <t>Boat 2 Size</t>
  </si>
  <si>
    <t>Boat 3 Size</t>
  </si>
  <si>
    <t>Boat 1 Contents</t>
  </si>
  <si>
    <t>Boat 2 Contents</t>
  </si>
  <si>
    <t>Boat 3 Contents</t>
  </si>
  <si>
    <t>N</t>
  </si>
  <si>
    <t>Boat 1 Available</t>
  </si>
  <si>
    <t>Boat 2 Available</t>
  </si>
  <si>
    <t>Boat 3 Available</t>
  </si>
  <si>
    <t>Boat 1 Qty</t>
  </si>
  <si>
    <t>Boat 2 Qty</t>
  </si>
  <si>
    <t>Boat 3 Qty</t>
  </si>
  <si>
    <t>Roles:</t>
  </si>
  <si>
    <t>Settler</t>
  </si>
  <si>
    <t>Mayor</t>
  </si>
  <si>
    <t>Craftsman</t>
  </si>
  <si>
    <t>Trader</t>
  </si>
  <si>
    <t>Builder</t>
  </si>
  <si>
    <t>Captain</t>
  </si>
  <si>
    <t>Available Roles:</t>
  </si>
  <si>
    <t>Num coins on role:</t>
  </si>
  <si>
    <t>VP</t>
  </si>
  <si>
    <t>Occupied?</t>
  </si>
  <si>
    <t>Plantations available to select:</t>
  </si>
  <si>
    <t>Quarries:</t>
  </si>
  <si>
    <t>Plantation 1</t>
  </si>
  <si>
    <t>Plantation 2</t>
  </si>
  <si>
    <t>Plantation 3</t>
  </si>
  <si>
    <t>Corn</t>
  </si>
  <si>
    <t>Indigo</t>
  </si>
  <si>
    <t>Sugar</t>
  </si>
  <si>
    <t>Tabacco</t>
  </si>
  <si>
    <t>Coffee</t>
  </si>
  <si>
    <t>Role Available?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</si>
</sst>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9">
    <xf numFmtId="0" fontId="0" fillId="0" borderId="0" xfId="0"/>
    <xf numFmtId="0" fontId="1" fillId="2" borderId="1" xfId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2" fillId="0" borderId="2" xfId="0" applyFont="1" applyBorder="1"/>
    <xf numFmtId="0" fontId="0" fillId="0" borderId="5" xfId="0" applyBorder="1" applyAlignment="1">
      <alignment horizontal="center"/>
    </xf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left"/>
    </xf>
    <xf numFmtId="0" fontId="0" fillId="0" borderId="7" xfId="0" applyBorder="1"/>
    <xf numFmtId="0" fontId="0" fillId="0" borderId="9" xfId="0" applyBorder="1"/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left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9</xdr:row>
          <xdr:rowOff>139700</xdr:rowOff>
        </xdr:from>
        <xdr:to>
          <xdr:col>13</xdr:col>
          <xdr:colOff>114300</xdr:colOff>
          <xdr:row>11</xdr:row>
          <xdr:rowOff>82550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565150</xdr:colOff>
          <xdr:row>8</xdr:row>
          <xdr:rowOff>146050</xdr:rowOff>
        </xdr:from>
        <xdr:to>
          <xdr:col>15</xdr:col>
          <xdr:colOff>273050</xdr:colOff>
          <xdr:row>11</xdr:row>
          <xdr:rowOff>50800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Plantations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EBEDE-F035-4497-9F01-52D389D6DF5E}">
  <sheetPr codeName="Sheet1"/>
  <dimension ref="A1:A4"/>
  <sheetViews>
    <sheetView workbookViewId="0">
      <selection activeCell="A5" sqref="A5"/>
    </sheetView>
  </sheetViews>
  <sheetFormatPr defaultRowHeight="14.5" x14ac:dyDescent="0.35"/>
  <sheetData>
    <row r="1" spans="1:1" x14ac:dyDescent="0.35">
      <c r="A1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3D68D-74F2-4B0B-B081-D901BC9C0161}">
  <sheetPr codeName="Sheet2"/>
  <dimension ref="A1:AB33"/>
  <sheetViews>
    <sheetView tabSelected="1" topLeftCell="I1" workbookViewId="0">
      <selection activeCell="L2" sqref="L2"/>
    </sheetView>
  </sheetViews>
  <sheetFormatPr defaultRowHeight="14.5" x14ac:dyDescent="0.35"/>
  <cols>
    <col min="1" max="1" width="10.08984375" bestFit="1" customWidth="1"/>
    <col min="2" max="2" width="5.453125" style="2" bestFit="1" customWidth="1"/>
    <col min="3" max="3" width="11.81640625" style="4" bestFit="1" customWidth="1"/>
    <col min="4" max="4" width="9.453125" bestFit="1" customWidth="1"/>
    <col min="5" max="5" width="5.26953125" customWidth="1"/>
    <col min="7" max="7" width="5.453125" bestFit="1" customWidth="1"/>
    <col min="8" max="8" width="11.81640625" bestFit="1" customWidth="1"/>
    <col min="9" max="9" width="9.453125" bestFit="1" customWidth="1"/>
    <col min="10" max="10" width="9.453125" customWidth="1"/>
    <col min="11" max="11" width="10.90625" customWidth="1"/>
    <col min="12" max="12" width="13.90625" bestFit="1" customWidth="1"/>
    <col min="13" max="13" width="16" bestFit="1" customWidth="1"/>
    <col min="19" max="19" width="16.81640625" bestFit="1" customWidth="1"/>
    <col min="20" max="20" width="14.6328125" bestFit="1" customWidth="1"/>
    <col min="22" max="22" width="17" bestFit="1" customWidth="1"/>
    <col min="23" max="23" width="8.7265625" style="2"/>
    <col min="24" max="24" width="14.1796875" bestFit="1" customWidth="1"/>
  </cols>
  <sheetData>
    <row r="1" spans="1:28" ht="15" thickBot="1" x14ac:dyDescent="0.4">
      <c r="A1" t="s">
        <v>20</v>
      </c>
      <c r="B1" s="2" t="s">
        <v>27</v>
      </c>
      <c r="C1" s="4" t="s">
        <v>28</v>
      </c>
      <c r="F1" t="s">
        <v>21</v>
      </c>
      <c r="G1" s="2" t="s">
        <v>27</v>
      </c>
      <c r="H1" s="4" t="s">
        <v>28</v>
      </c>
      <c r="K1" s="7" t="s">
        <v>46</v>
      </c>
      <c r="L1" t="s">
        <v>53</v>
      </c>
      <c r="M1" t="s">
        <v>54</v>
      </c>
      <c r="N1" t="s">
        <v>67</v>
      </c>
      <c r="S1" t="s">
        <v>4</v>
      </c>
      <c r="V1" t="s">
        <v>7</v>
      </c>
      <c r="Y1" t="s">
        <v>31</v>
      </c>
    </row>
    <row r="2" spans="1:28" x14ac:dyDescent="0.35">
      <c r="A2" t="s">
        <v>22</v>
      </c>
      <c r="B2" s="2">
        <f>IF(T3="Yes",3,3)</f>
        <v>3</v>
      </c>
      <c r="C2" s="4">
        <f>B2</f>
        <v>3</v>
      </c>
      <c r="F2" t="s">
        <v>22</v>
      </c>
      <c r="G2" s="2">
        <f>IF(T3="Yes",2,3)</f>
        <v>2</v>
      </c>
      <c r="H2" s="4">
        <f>G2</f>
        <v>2</v>
      </c>
      <c r="K2" s="5" t="s">
        <v>47</v>
      </c>
      <c r="L2" t="str">
        <f>K2</f>
        <v>Settler</v>
      </c>
      <c r="M2" s="2">
        <v>0</v>
      </c>
      <c r="N2">
        <v>1</v>
      </c>
      <c r="S2" t="s">
        <v>5</v>
      </c>
      <c r="T2" s="1">
        <v>2</v>
      </c>
    </row>
    <row r="3" spans="1:28" x14ac:dyDescent="0.35">
      <c r="A3" t="s">
        <v>23</v>
      </c>
      <c r="B3" s="2">
        <v>0</v>
      </c>
      <c r="C3" s="4">
        <f t="shared" ref="C3" si="0">B3</f>
        <v>0</v>
      </c>
      <c r="F3" t="s">
        <v>23</v>
      </c>
      <c r="G3" s="2">
        <v>0</v>
      </c>
      <c r="H3" s="4">
        <f t="shared" ref="H3" si="1">G3</f>
        <v>0</v>
      </c>
      <c r="K3" s="5" t="s">
        <v>48</v>
      </c>
      <c r="L3" t="str">
        <f t="shared" ref="L3:L9" si="2">K3</f>
        <v>Mayor</v>
      </c>
      <c r="M3" s="2">
        <v>0</v>
      </c>
      <c r="N3">
        <v>1</v>
      </c>
      <c r="S3" t="s">
        <v>16</v>
      </c>
      <c r="T3" s="1" t="s">
        <v>17</v>
      </c>
      <c r="AB3" t="s">
        <v>32</v>
      </c>
    </row>
    <row r="4" spans="1:28" x14ac:dyDescent="0.35">
      <c r="A4" t="s">
        <v>26</v>
      </c>
      <c r="B4" s="2">
        <v>0</v>
      </c>
      <c r="C4" s="4">
        <f>B4</f>
        <v>0</v>
      </c>
      <c r="F4" t="s">
        <v>26</v>
      </c>
      <c r="G4" s="2">
        <v>0</v>
      </c>
      <c r="H4" s="4">
        <f>G4</f>
        <v>0</v>
      </c>
      <c r="K4" s="5" t="s">
        <v>49</v>
      </c>
      <c r="L4" t="str">
        <f t="shared" si="2"/>
        <v>Craftsman</v>
      </c>
      <c r="M4" s="2">
        <v>0</v>
      </c>
      <c r="N4">
        <v>1</v>
      </c>
      <c r="S4" t="s">
        <v>19</v>
      </c>
      <c r="T4" s="1" t="s">
        <v>18</v>
      </c>
    </row>
    <row r="5" spans="1:28" x14ac:dyDescent="0.35">
      <c r="A5" t="s">
        <v>55</v>
      </c>
      <c r="B5" s="2">
        <v>0</v>
      </c>
      <c r="C5" s="4">
        <f>B5</f>
        <v>0</v>
      </c>
      <c r="F5" t="s">
        <v>55</v>
      </c>
      <c r="G5" s="2">
        <v>0</v>
      </c>
      <c r="H5" s="4">
        <f>G5</f>
        <v>0</v>
      </c>
      <c r="K5" s="5" t="s">
        <v>50</v>
      </c>
      <c r="L5" t="str">
        <f t="shared" si="2"/>
        <v>Trader</v>
      </c>
      <c r="M5" s="2">
        <v>0</v>
      </c>
      <c r="N5">
        <v>1</v>
      </c>
    </row>
    <row r="6" spans="1:28" ht="15" thickBot="1" x14ac:dyDescent="0.4">
      <c r="K6" s="5" t="s">
        <v>51</v>
      </c>
      <c r="L6" t="str">
        <f t="shared" si="2"/>
        <v>Builder</v>
      </c>
      <c r="M6" s="2">
        <v>0</v>
      </c>
      <c r="N6">
        <v>1</v>
      </c>
      <c r="S6" t="s">
        <v>6</v>
      </c>
      <c r="T6" s="2">
        <f>IF(T2=2,2,"Error. Not programmed yet")</f>
        <v>2</v>
      </c>
      <c r="V6" t="s">
        <v>6</v>
      </c>
      <c r="W6" s="2">
        <f>T6</f>
        <v>2</v>
      </c>
    </row>
    <row r="7" spans="1:28" x14ac:dyDescent="0.35">
      <c r="C7" s="8" t="s">
        <v>25</v>
      </c>
      <c r="D7" s="9" t="s">
        <v>56</v>
      </c>
      <c r="E7" s="17"/>
      <c r="H7" s="8" t="s">
        <v>25</v>
      </c>
      <c r="I7" s="9" t="s">
        <v>56</v>
      </c>
      <c r="K7" s="5" t="s">
        <v>52</v>
      </c>
      <c r="L7" t="str">
        <f t="shared" si="2"/>
        <v>Captain</v>
      </c>
      <c r="M7" s="2">
        <v>0</v>
      </c>
      <c r="N7">
        <v>1</v>
      </c>
      <c r="S7" t="s">
        <v>8</v>
      </c>
      <c r="T7" s="2">
        <f>IF(T2=2,40,"Error. Not programmed yet")</f>
        <v>40</v>
      </c>
      <c r="V7" t="s">
        <v>8</v>
      </c>
      <c r="W7" s="2">
        <f>T7</f>
        <v>40</v>
      </c>
    </row>
    <row r="8" spans="1:28" x14ac:dyDescent="0.35">
      <c r="A8" t="s">
        <v>25</v>
      </c>
      <c r="B8" s="2" t="s">
        <v>29</v>
      </c>
      <c r="C8" s="10" t="str">
        <f>B8</f>
        <v>I</v>
      </c>
      <c r="D8" s="11">
        <v>0</v>
      </c>
      <c r="E8" s="18"/>
      <c r="F8" t="s">
        <v>25</v>
      </c>
      <c r="G8" s="2" t="s">
        <v>30</v>
      </c>
      <c r="H8" s="10" t="str">
        <f>G8</f>
        <v>C</v>
      </c>
      <c r="I8" s="11">
        <v>0</v>
      </c>
      <c r="K8" s="5" t="str">
        <f>IF(T2=2,"Prospector",IF(T2=3,"",IF(T2=4,"Prospector",IF(T2=5,"Prospector","Error. Not a valid number of players"))))</f>
        <v>Prospector</v>
      </c>
      <c r="L8" t="str">
        <f t="shared" si="2"/>
        <v>Prospector</v>
      </c>
      <c r="M8" s="2">
        <v>0</v>
      </c>
      <c r="N8">
        <v>1</v>
      </c>
      <c r="S8" t="s">
        <v>9</v>
      </c>
      <c r="T8" s="2">
        <f>IF(T2=2,65,"Error. Not programmed yet")</f>
        <v>65</v>
      </c>
      <c r="V8" t="s">
        <v>9</v>
      </c>
      <c r="W8" s="2">
        <f>T8</f>
        <v>65</v>
      </c>
    </row>
    <row r="9" spans="1:28" ht="15" thickBot="1" x14ac:dyDescent="0.4">
      <c r="C9" s="10"/>
      <c r="D9" s="11">
        <v>0</v>
      </c>
      <c r="E9" s="18"/>
      <c r="H9" s="14"/>
      <c r="I9" s="11">
        <v>0</v>
      </c>
      <c r="K9" s="6" t="str">
        <f>IF(T2=2,"",IF(T2=3,"",IF(T2=4,"",IF(T2=5,"Prospector","Error. Not a valid number of players"))))</f>
        <v/>
      </c>
      <c r="L9" t="str">
        <f t="shared" si="2"/>
        <v/>
      </c>
      <c r="S9" t="s">
        <v>10</v>
      </c>
      <c r="T9" s="2">
        <f>IF(T2=2,5,"Error, not programmed yet.")</f>
        <v>5</v>
      </c>
      <c r="V9" t="s">
        <v>10</v>
      </c>
      <c r="W9" s="2">
        <v>5</v>
      </c>
    </row>
    <row r="10" spans="1:28" x14ac:dyDescent="0.35">
      <c r="C10" s="10"/>
      <c r="D10" s="11">
        <v>0</v>
      </c>
      <c r="E10" s="18"/>
      <c r="H10" s="14"/>
      <c r="I10" s="11">
        <v>0</v>
      </c>
      <c r="S10" t="s">
        <v>11</v>
      </c>
      <c r="T10" s="2">
        <f>IF(T2=2,7,"Error, not programmed yet.")</f>
        <v>7</v>
      </c>
      <c r="V10" t="s">
        <v>62</v>
      </c>
      <c r="W10" s="2">
        <v>7</v>
      </c>
    </row>
    <row r="11" spans="1:28" x14ac:dyDescent="0.35">
      <c r="C11" s="10"/>
      <c r="D11" s="11">
        <v>0</v>
      </c>
      <c r="E11" s="18"/>
      <c r="H11" s="14"/>
      <c r="I11" s="11">
        <v>0</v>
      </c>
      <c r="K11" s="3" t="s">
        <v>57</v>
      </c>
      <c r="L11" s="3"/>
      <c r="S11" t="s">
        <v>12</v>
      </c>
      <c r="T11" s="2">
        <f>IF(T2=2,9,"Error, not programmed yet.")</f>
        <v>9</v>
      </c>
      <c r="V11" t="s">
        <v>63</v>
      </c>
      <c r="W11" s="2">
        <v>9</v>
      </c>
    </row>
    <row r="12" spans="1:28" x14ac:dyDescent="0.35">
      <c r="C12" s="10"/>
      <c r="D12" s="11">
        <v>0</v>
      </c>
      <c r="E12" s="18"/>
      <c r="H12" s="14"/>
      <c r="I12" s="11">
        <v>0</v>
      </c>
      <c r="K12" t="s">
        <v>58</v>
      </c>
      <c r="L12" s="2">
        <f>W9</f>
        <v>5</v>
      </c>
      <c r="S12" t="s">
        <v>13</v>
      </c>
      <c r="T12" s="2">
        <f>IF(T2=2,8,"Error, not programmed yet.")</f>
        <v>8</v>
      </c>
      <c r="V12" t="s">
        <v>64</v>
      </c>
      <c r="W12" s="2">
        <v>6</v>
      </c>
    </row>
    <row r="13" spans="1:28" x14ac:dyDescent="0.35">
      <c r="C13" s="10"/>
      <c r="D13" s="11">
        <v>0</v>
      </c>
      <c r="E13" s="18"/>
      <c r="H13" s="14"/>
      <c r="I13" s="11">
        <v>0</v>
      </c>
      <c r="K13" s="2" t="s">
        <v>59</v>
      </c>
      <c r="L13" t="s">
        <v>65</v>
      </c>
      <c r="S13" t="s">
        <v>14</v>
      </c>
      <c r="T13" s="2">
        <f>IF(T2=2,6,"Error, not programmed yet.")</f>
        <v>6</v>
      </c>
      <c r="V13" t="s">
        <v>65</v>
      </c>
      <c r="W13" s="2">
        <v>5</v>
      </c>
    </row>
    <row r="14" spans="1:28" x14ac:dyDescent="0.35">
      <c r="C14" s="10"/>
      <c r="D14" s="11">
        <v>0</v>
      </c>
      <c r="E14" s="18"/>
      <c r="H14" s="14"/>
      <c r="I14" s="11">
        <v>0</v>
      </c>
      <c r="K14" s="2" t="s">
        <v>60</v>
      </c>
      <c r="L14" t="s">
        <v>64</v>
      </c>
      <c r="S14" t="s">
        <v>15</v>
      </c>
      <c r="T14" s="2">
        <f>IF(T2=2,5,"Error, not programmed yet.")</f>
        <v>5</v>
      </c>
      <c r="V14" t="s">
        <v>66</v>
      </c>
      <c r="W14" s="2">
        <v>5</v>
      </c>
    </row>
    <row r="15" spans="1:28" x14ac:dyDescent="0.35">
      <c r="C15" s="10"/>
      <c r="D15" s="11">
        <v>0</v>
      </c>
      <c r="E15" s="18"/>
      <c r="H15" s="14"/>
      <c r="I15" s="11">
        <v>0</v>
      </c>
      <c r="K15" s="2" t="s">
        <v>61</v>
      </c>
      <c r="L15" t="s">
        <v>64</v>
      </c>
    </row>
    <row r="16" spans="1:28" x14ac:dyDescent="0.35">
      <c r="C16" s="10"/>
      <c r="D16" s="11">
        <v>0</v>
      </c>
      <c r="E16" s="18"/>
      <c r="H16" s="14"/>
      <c r="I16" s="11">
        <v>0</v>
      </c>
      <c r="S16" t="s">
        <v>33</v>
      </c>
      <c r="T16" s="2">
        <f>IF(T2=2,4,"Not yet programmed")</f>
        <v>4</v>
      </c>
      <c r="V16" t="s">
        <v>36</v>
      </c>
      <c r="W16" s="2" t="s">
        <v>39</v>
      </c>
    </row>
    <row r="17" spans="3:23" x14ac:dyDescent="0.35">
      <c r="C17" s="10"/>
      <c r="D17" s="11">
        <v>0</v>
      </c>
      <c r="E17" s="18"/>
      <c r="H17" s="14"/>
      <c r="I17" s="11">
        <v>0</v>
      </c>
      <c r="S17" t="s">
        <v>34</v>
      </c>
      <c r="T17" s="2">
        <f>IF(T2=2,6,"Not yet programmed")</f>
        <v>6</v>
      </c>
      <c r="V17" t="s">
        <v>37</v>
      </c>
      <c r="W17" s="2" t="s">
        <v>39</v>
      </c>
    </row>
    <row r="18" spans="3:23" x14ac:dyDescent="0.35">
      <c r="C18" s="10"/>
      <c r="D18" s="11">
        <v>0</v>
      </c>
      <c r="E18" s="18"/>
      <c r="H18" s="14"/>
      <c r="I18" s="11">
        <v>0</v>
      </c>
      <c r="S18" t="s">
        <v>35</v>
      </c>
      <c r="T18" s="2">
        <f>IF(T2=2,0,"Not yet programmed")</f>
        <v>0</v>
      </c>
      <c r="V18" t="s">
        <v>38</v>
      </c>
      <c r="W18" s="2" t="s">
        <v>39</v>
      </c>
    </row>
    <row r="19" spans="3:23" ht="15" thickBot="1" x14ac:dyDescent="0.4">
      <c r="C19" s="12"/>
      <c r="D19" s="13">
        <v>0</v>
      </c>
      <c r="E19" s="18"/>
      <c r="H19" s="15"/>
      <c r="I19" s="13">
        <v>0</v>
      </c>
    </row>
    <row r="20" spans="3:23" ht="15" thickBot="1" x14ac:dyDescent="0.4">
      <c r="V20" t="s">
        <v>43</v>
      </c>
      <c r="W20" s="2">
        <v>0</v>
      </c>
    </row>
    <row r="21" spans="3:23" x14ac:dyDescent="0.35">
      <c r="C21" s="8" t="s">
        <v>24</v>
      </c>
      <c r="D21" s="9" t="s">
        <v>56</v>
      </c>
      <c r="E21" s="17"/>
      <c r="H21" s="16" t="s">
        <v>24</v>
      </c>
      <c r="I21" s="9" t="s">
        <v>56</v>
      </c>
      <c r="V21" t="s">
        <v>44</v>
      </c>
      <c r="W21" s="2">
        <v>0</v>
      </c>
    </row>
    <row r="22" spans="3:23" x14ac:dyDescent="0.35">
      <c r="C22" s="10"/>
      <c r="D22" s="11">
        <v>0</v>
      </c>
      <c r="E22" s="18"/>
      <c r="G22" s="2"/>
      <c r="H22" s="10"/>
      <c r="I22" s="11">
        <v>0</v>
      </c>
      <c r="V22" t="s">
        <v>45</v>
      </c>
      <c r="W22" s="2">
        <v>0</v>
      </c>
    </row>
    <row r="23" spans="3:23" x14ac:dyDescent="0.35">
      <c r="C23" s="10"/>
      <c r="D23" s="11">
        <v>0</v>
      </c>
      <c r="E23" s="18"/>
      <c r="H23" s="14"/>
      <c r="I23" s="11">
        <v>0</v>
      </c>
    </row>
    <row r="24" spans="3:23" x14ac:dyDescent="0.35">
      <c r="C24" s="10"/>
      <c r="D24" s="11">
        <v>0</v>
      </c>
      <c r="E24" s="18"/>
      <c r="H24" s="14"/>
      <c r="I24" s="11">
        <v>0</v>
      </c>
      <c r="V24" t="s">
        <v>40</v>
      </c>
      <c r="W24" s="2">
        <f>T16-W20</f>
        <v>4</v>
      </c>
    </row>
    <row r="25" spans="3:23" x14ac:dyDescent="0.35">
      <c r="C25" s="10"/>
      <c r="D25" s="11">
        <v>0</v>
      </c>
      <c r="E25" s="18"/>
      <c r="H25" s="14"/>
      <c r="I25" s="11">
        <v>0</v>
      </c>
      <c r="V25" t="s">
        <v>41</v>
      </c>
      <c r="W25" s="2">
        <f t="shared" ref="W25:W26" si="3">T17-W21</f>
        <v>6</v>
      </c>
    </row>
    <row r="26" spans="3:23" x14ac:dyDescent="0.35">
      <c r="C26" s="10"/>
      <c r="D26" s="11">
        <v>0</v>
      </c>
      <c r="E26" s="18"/>
      <c r="H26" s="14"/>
      <c r="I26" s="11">
        <v>0</v>
      </c>
      <c r="V26" t="s">
        <v>42</v>
      </c>
      <c r="W26" s="2">
        <f t="shared" si="3"/>
        <v>0</v>
      </c>
    </row>
    <row r="27" spans="3:23" x14ac:dyDescent="0.35">
      <c r="C27" s="10"/>
      <c r="D27" s="11">
        <v>0</v>
      </c>
      <c r="E27" s="18"/>
      <c r="H27" s="14"/>
      <c r="I27" s="11">
        <v>0</v>
      </c>
    </row>
    <row r="28" spans="3:23" x14ac:dyDescent="0.35">
      <c r="C28" s="10"/>
      <c r="D28" s="11">
        <v>0</v>
      </c>
      <c r="E28" s="18"/>
      <c r="H28" s="14"/>
      <c r="I28" s="11">
        <v>0</v>
      </c>
    </row>
    <row r="29" spans="3:23" x14ac:dyDescent="0.35">
      <c r="C29" s="10"/>
      <c r="D29" s="11">
        <v>0</v>
      </c>
      <c r="E29" s="18"/>
      <c r="H29" s="14"/>
      <c r="I29" s="11">
        <v>0</v>
      </c>
    </row>
    <row r="30" spans="3:23" x14ac:dyDescent="0.35">
      <c r="C30" s="10"/>
      <c r="D30" s="11">
        <v>0</v>
      </c>
      <c r="E30" s="18"/>
      <c r="H30" s="14"/>
      <c r="I30" s="11">
        <v>0</v>
      </c>
    </row>
    <row r="31" spans="3:23" x14ac:dyDescent="0.35">
      <c r="C31" s="10"/>
      <c r="D31" s="11">
        <v>0</v>
      </c>
      <c r="E31" s="18"/>
      <c r="H31" s="14"/>
      <c r="I31" s="11">
        <v>0</v>
      </c>
    </row>
    <row r="32" spans="3:23" x14ac:dyDescent="0.35">
      <c r="C32" s="10"/>
      <c r="D32" s="11">
        <v>0</v>
      </c>
      <c r="E32" s="18"/>
      <c r="H32" s="14"/>
      <c r="I32" s="11">
        <v>0</v>
      </c>
    </row>
    <row r="33" spans="3:9" ht="15" thickBot="1" x14ac:dyDescent="0.4">
      <c r="C33" s="12"/>
      <c r="D33" s="13">
        <v>0</v>
      </c>
      <c r="E33" s="18"/>
      <c r="H33" s="15"/>
      <c r="I33" s="13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ttle">
                <anchor moveWithCells="1" sizeWithCells="1">
                  <from>
                    <xdr:col>12</xdr:col>
                    <xdr:colOff>228600</xdr:colOff>
                    <xdr:row>9</xdr:row>
                    <xdr:rowOff>139700</xdr:rowOff>
                  </from>
                  <to>
                    <xdr:col>13</xdr:col>
                    <xdr:colOff>114300</xdr:colOff>
                    <xdr:row>11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tPlantations">
                <anchor moveWithCells="1" sizeWithCells="1">
                  <from>
                    <xdr:col>13</xdr:col>
                    <xdr:colOff>565150</xdr:colOff>
                    <xdr:row>8</xdr:row>
                    <xdr:rowOff>146050</xdr:rowOff>
                  </from>
                  <to>
                    <xdr:col>15</xdr:col>
                    <xdr:colOff>273050</xdr:colOff>
                    <xdr:row>11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Info</vt:lpstr>
      <vt:lpstr>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Crabtree, Jake</dc:creator>
  <cp:lastModifiedBy>Crabtree, Jake</cp:lastModifiedBy>
  <dcterms:created xsi:type="dcterms:W3CDTF">2019-08-26T14:08:44Z</dcterms:created>
  <dcterms:modified xsi:type="dcterms:W3CDTF">2019-09-04T18:14:21Z</dcterms:modified>
</cp:coreProperties>
</file>